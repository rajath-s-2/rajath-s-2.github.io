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ath/Documents/GT/Fall 2025/Finance &amp; Investments/"/>
    </mc:Choice>
  </mc:AlternateContent>
  <xr:revisionPtr revIDLastSave="0" documentId="13_ncr:1_{7C1AA095-2AA3-774A-9747-086BE3BA49AA}" xr6:coauthVersionLast="47" xr6:coauthVersionMax="47" xr10:uidLastSave="{00000000-0000-0000-0000-000000000000}"/>
  <bookViews>
    <workbookView xWindow="0" yWindow="740" windowWidth="29400" windowHeight="17380" activeTab="1" xr2:uid="{434C4DBE-740C-B64B-B400-73796048EB06}"/>
  </bookViews>
  <sheets>
    <sheet name="Team info" sheetId="1" r:id="rId1"/>
    <sheet name="Analysis" sheetId="2" r:id="rId2"/>
    <sheet name="Financial Statement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3" i="2" l="1"/>
  <c r="C91" i="2"/>
  <c r="D46" i="2"/>
  <c r="E38" i="2"/>
  <c r="D63" i="2"/>
  <c r="D38" i="2"/>
  <c r="E63" i="2"/>
  <c r="F63" i="2"/>
  <c r="F38" i="2"/>
  <c r="G38" i="2"/>
  <c r="E42" i="2"/>
  <c r="D42" i="2"/>
  <c r="C6" i="2"/>
  <c r="I42" i="2" s="1"/>
  <c r="F12" i="2"/>
  <c r="E12" i="2"/>
  <c r="T14" i="2" l="1"/>
  <c r="H12" i="2" s="1"/>
  <c r="H13" i="2" s="1"/>
  <c r="G13" i="2"/>
  <c r="U40" i="2"/>
  <c r="C94" i="2" s="1"/>
  <c r="U65" i="2"/>
  <c r="H63" i="2" s="1"/>
  <c r="I63" i="2" s="1"/>
  <c r="G42" i="2"/>
  <c r="C42" i="2" s="1"/>
  <c r="H38" i="2" l="1"/>
  <c r="I38" i="2" s="1"/>
  <c r="I12" i="2"/>
  <c r="I13" i="2" s="1"/>
  <c r="H64" i="2"/>
  <c r="I64" i="2"/>
  <c r="J63" i="2"/>
  <c r="H39" i="2" l="1"/>
  <c r="J12" i="2"/>
  <c r="K12" i="2" s="1"/>
  <c r="K63" i="2"/>
  <c r="J64" i="2"/>
  <c r="J38" i="2"/>
  <c r="I39" i="2"/>
  <c r="J13" i="2" l="1"/>
  <c r="L12" i="2"/>
  <c r="K13" i="2"/>
  <c r="K38" i="2"/>
  <c r="J39" i="2"/>
  <c r="L63" i="2"/>
  <c r="K64" i="2"/>
  <c r="M12" i="2" l="1"/>
  <c r="L13" i="2"/>
  <c r="M63" i="2"/>
  <c r="L64" i="2"/>
  <c r="K39" i="2"/>
  <c r="L38" i="2"/>
  <c r="N12" i="2" l="1"/>
  <c r="M13" i="2"/>
  <c r="L39" i="2"/>
  <c r="M38" i="2"/>
  <c r="M64" i="2"/>
  <c r="N63" i="2"/>
  <c r="O12" i="2" l="1"/>
  <c r="N13" i="2"/>
  <c r="N64" i="2"/>
  <c r="O63" i="2"/>
  <c r="N38" i="2"/>
  <c r="M39" i="2"/>
  <c r="P12" i="2" l="1"/>
  <c r="O13" i="2"/>
  <c r="O38" i="2"/>
  <c r="N39" i="2"/>
  <c r="P63" i="2"/>
  <c r="O64" i="2"/>
  <c r="Q12" i="2" l="1"/>
  <c r="P15" i="2" s="1"/>
  <c r="P16" i="2" s="1"/>
  <c r="P13" i="2"/>
  <c r="P64" i="2"/>
  <c r="Q63" i="2"/>
  <c r="P66" i="2" s="1"/>
  <c r="P67" i="2" s="1"/>
  <c r="P38" i="2"/>
  <c r="O39" i="2"/>
  <c r="C20" i="2" l="1"/>
  <c r="D23" i="2" s="1"/>
  <c r="Q38" i="2"/>
  <c r="P41" i="2" s="1"/>
  <c r="P42" i="2" s="1"/>
  <c r="P39" i="2"/>
  <c r="D66" i="2"/>
  <c r="D68" i="2" s="1"/>
  <c r="E71" i="2" s="1"/>
  <c r="D44" i="2" l="1"/>
  <c r="D45" i="2" s="1"/>
  <c r="D47" i="2" s="1"/>
  <c r="E52" i="2" s="1"/>
</calcChain>
</file>

<file path=xl/sharedStrings.xml><?xml version="1.0" encoding="utf-8"?>
<sst xmlns="http://schemas.openxmlformats.org/spreadsheetml/2006/main" count="109" uniqueCount="75">
  <si>
    <t>Indsutry</t>
  </si>
  <si>
    <t>Names</t>
  </si>
  <si>
    <t>GTID</t>
  </si>
  <si>
    <t>Companies</t>
  </si>
  <si>
    <t>Fundamental value</t>
  </si>
  <si>
    <t>Equity discount rate using the CAPM formula</t>
  </si>
  <si>
    <t>rf</t>
  </si>
  <si>
    <t>β</t>
  </si>
  <si>
    <t>Firm's dividend and fundamental value</t>
  </si>
  <si>
    <t>Projected</t>
  </si>
  <si>
    <t>Growth Model</t>
  </si>
  <si>
    <t>Free cash flow models</t>
  </si>
  <si>
    <t>Dividend Discount Model</t>
  </si>
  <si>
    <t>Cost of Debt</t>
  </si>
  <si>
    <t>Cost of Equity</t>
  </si>
  <si>
    <t>Tax Rate</t>
  </si>
  <si>
    <t>Relative Valuation</t>
  </si>
  <si>
    <t>Total Value</t>
  </si>
  <si>
    <t>Historical</t>
  </si>
  <si>
    <t>Annual Dividends Per Share</t>
  </si>
  <si>
    <t>Present Value of Dividend</t>
  </si>
  <si>
    <t>Present Value of Terminal Value</t>
  </si>
  <si>
    <t>Terminal Growth Rate</t>
  </si>
  <si>
    <t>-</t>
  </si>
  <si>
    <t>E[rm]-rf</t>
  </si>
  <si>
    <t>E[r] for company (i.e., discount rate)</t>
  </si>
  <si>
    <t>Discuss sensitivity analysis here:</t>
  </si>
  <si>
    <t>Free Cash Flow of the Firm</t>
  </si>
  <si>
    <t>Free Cash Flow to Equity</t>
  </si>
  <si>
    <t>WACC Value</t>
  </si>
  <si>
    <t>Fundamental Value of Equity Per Share</t>
  </si>
  <si>
    <t>Fundamental Value of the Firm</t>
  </si>
  <si>
    <t>Fundamental Value of Equity</t>
  </si>
  <si>
    <t>Shares Outstanding</t>
  </si>
  <si>
    <t>*Historical/Future Years may be off</t>
  </si>
  <si>
    <t>*If you want, you can add rows for each line item used to calculate free cash flow. Up to you.</t>
  </si>
  <si>
    <t>&lt;- you can modify</t>
  </si>
  <si>
    <t>Reasoning behind dividend projections:</t>
  </si>
  <si>
    <t>Reasoning behind cash flow projections:</t>
  </si>
  <si>
    <t>Reasoning behind cash flow projections</t>
  </si>
  <si>
    <t>Trailing price to earnings ratio:</t>
  </si>
  <si>
    <t>Forward price to earnings ratio:</t>
  </si>
  <si>
    <t xml:space="preserve">    Current Stock Price</t>
  </si>
  <si>
    <t xml:space="preserve">    Past 1 year earnings per share</t>
  </si>
  <si>
    <t xml:space="preserve">    Projected earnings per share</t>
  </si>
  <si>
    <t xml:space="preserve">    Total Revenue/Sales Per Share</t>
  </si>
  <si>
    <t xml:space="preserve">    No-Growth Value of Share</t>
  </si>
  <si>
    <t>Price to sales ratio:</t>
  </si>
  <si>
    <t>Present value of growth opportunities:</t>
  </si>
  <si>
    <t>Mkt Value Equity</t>
  </si>
  <si>
    <t>Book Value of Debt</t>
  </si>
  <si>
    <t>Current Stock Price:</t>
  </si>
  <si>
    <t>^ Find online</t>
  </si>
  <si>
    <t>Terminal Value in 2034 (i.e., value of dividends from 2035 on in 2034)</t>
  </si>
  <si>
    <t>2025-Pre</t>
  </si>
  <si>
    <t>2025-Post</t>
  </si>
  <si>
    <t>growth rate of cashflow</t>
  </si>
  <si>
    <t>outstanding shares*stock price</t>
  </si>
  <si>
    <t>Present Values</t>
  </si>
  <si>
    <t xml:space="preserve">growth rate </t>
  </si>
  <si>
    <t>growth rate of div</t>
  </si>
  <si>
    <t>2+ stage growth - large firm rapidly growing - expect things to slow down later once competition picks up</t>
  </si>
  <si>
    <t>expected return of equity</t>
  </si>
  <si>
    <t>terminal growth rates</t>
  </si>
  <si>
    <t>Terminal growth rates</t>
  </si>
  <si>
    <t>I expect the firm to grow and hence the dividends to grow at the historical rate</t>
  </si>
  <si>
    <t>WACC</t>
  </si>
  <si>
    <t>Expected Return on Equity</t>
  </si>
  <si>
    <t>Used the historical growth and projected it through the next 9 years as we see strong momentum in the company's trajectory.</t>
  </si>
  <si>
    <t>Higher r (rate of equity return), value drops for the same terminal growth rate. This is because investors demand a higher growth rate if there is a higher cost of equity. For a given r, as the terminal growth rate increases, denominator decreases, and value of the company increases</t>
  </si>
  <si>
    <t>I do expect the same rate of growth of the company given that they are the largest providers of CRM solutions. They are also building out Agentforce - agentic AI solutions which would enable them to continue to grow at the same pace.</t>
  </si>
  <si>
    <t>Sensitivity test (FCFF)</t>
  </si>
  <si>
    <t>Sensitivity test (FCFE)</t>
  </si>
  <si>
    <t>Same as above here, for FFCF method, as WACC increases for a given terminal rate, value of the firm goes down. Its similar for the FCFE method, as r increases, value goes down - reason being the investors demand a higher growth rate as cost of capital/equity increases. Increasing terminal growth rate increases the overall value of the company for a particular discount rate.</t>
  </si>
  <si>
    <t>Sensitivity test (DDM)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</si>
</sst>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$-409]#,##0.00"/>
    <numFmt numFmtId="165" formatCode="&quot;$&quot;#,##0.00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39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0" xfId="1" applyFont="1"/>
    <xf numFmtId="0" fontId="0" fillId="3" borderId="3" xfId="0" applyFill="1" applyBorder="1" applyAlignment="1">
      <alignment horizontal="center"/>
    </xf>
    <xf numFmtId="0" fontId="0" fillId="0" borderId="12" xfId="0" applyBorder="1"/>
    <xf numFmtId="0" fontId="3" fillId="0" borderId="12" xfId="0" applyFont="1" applyBorder="1" applyAlignment="1">
      <alignment horizontal="left"/>
    </xf>
    <xf numFmtId="0" fontId="3" fillId="7" borderId="12" xfId="0" applyFont="1" applyFill="1" applyBorder="1" applyAlignment="1">
      <alignment horizontal="center"/>
    </xf>
    <xf numFmtId="164" fontId="0" fillId="0" borderId="12" xfId="0" applyNumberFormat="1" applyBorder="1"/>
    <xf numFmtId="164" fontId="5" fillId="0" borderId="0" xfId="0" applyNumberFormat="1" applyFont="1"/>
    <xf numFmtId="0" fontId="0" fillId="0" borderId="12" xfId="0" applyBorder="1" applyAlignment="1">
      <alignment horizontal="center"/>
    </xf>
    <xf numFmtId="0" fontId="3" fillId="0" borderId="12" xfId="0" applyFont="1" applyBorder="1"/>
    <xf numFmtId="8" fontId="3" fillId="8" borderId="12" xfId="0" applyNumberFormat="1" applyFont="1" applyFill="1" applyBorder="1"/>
    <xf numFmtId="164" fontId="6" fillId="9" borderId="12" xfId="0" applyNumberFormat="1" applyFont="1" applyFill="1" applyBorder="1"/>
    <xf numFmtId="0" fontId="0" fillId="0" borderId="12" xfId="0" applyBorder="1" applyAlignment="1">
      <alignment horizontal="left"/>
    </xf>
    <xf numFmtId="0" fontId="3" fillId="10" borderId="1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/>
    <xf numFmtId="164" fontId="0" fillId="0" borderId="0" xfId="0" applyNumberFormat="1"/>
    <xf numFmtId="0" fontId="0" fillId="8" borderId="12" xfId="0" applyFill="1" applyBorder="1"/>
    <xf numFmtId="164" fontId="0" fillId="12" borderId="12" xfId="0" applyNumberFormat="1" applyFill="1" applyBorder="1"/>
    <xf numFmtId="164" fontId="0" fillId="13" borderId="12" xfId="0" applyNumberFormat="1" applyFill="1" applyBorder="1"/>
    <xf numFmtId="164" fontId="8" fillId="13" borderId="12" xfId="0" applyNumberFormat="1" applyFont="1" applyFill="1" applyBorder="1"/>
    <xf numFmtId="164" fontId="0" fillId="8" borderId="12" xfId="0" applyNumberFormat="1" applyFill="1" applyBorder="1"/>
    <xf numFmtId="9" fontId="0" fillId="13" borderId="0" xfId="0" applyNumberFormat="1" applyFill="1"/>
    <xf numFmtId="44" fontId="0" fillId="12" borderId="12" xfId="2" applyFont="1" applyFill="1" applyBorder="1"/>
    <xf numFmtId="44" fontId="0" fillId="13" borderId="12" xfId="2" applyFont="1" applyFill="1" applyBorder="1"/>
    <xf numFmtId="44" fontId="8" fillId="13" borderId="12" xfId="2" applyFont="1" applyFill="1" applyBorder="1"/>
    <xf numFmtId="44" fontId="0" fillId="11" borderId="12" xfId="2" applyFont="1" applyFill="1" applyBorder="1"/>
    <xf numFmtId="44" fontId="0" fillId="0" borderId="12" xfId="2" applyFont="1" applyBorder="1"/>
    <xf numFmtId="44" fontId="0" fillId="8" borderId="12" xfId="2" applyFont="1" applyFill="1" applyBorder="1"/>
    <xf numFmtId="44" fontId="8" fillId="8" borderId="12" xfId="2" applyFont="1" applyFill="1" applyBorder="1"/>
    <xf numFmtId="0" fontId="0" fillId="12" borderId="12" xfId="0" applyFill="1" applyBorder="1"/>
    <xf numFmtId="0" fontId="3" fillId="5" borderId="17" xfId="0" applyFont="1" applyFill="1" applyBorder="1" applyAlignment="1">
      <alignment horizontal="center"/>
    </xf>
    <xf numFmtId="0" fontId="0" fillId="0" borderId="20" xfId="0" applyBorder="1"/>
    <xf numFmtId="0" fontId="0" fillId="0" borderId="16" xfId="0" applyBorder="1"/>
    <xf numFmtId="44" fontId="0" fillId="12" borderId="12" xfId="2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164" fontId="0" fillId="0" borderId="0" xfId="0" applyNumberFormat="1" applyAlignment="1">
      <alignment vertical="center" wrapText="1"/>
    </xf>
    <xf numFmtId="0" fontId="0" fillId="0" borderId="15" xfId="0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8" fontId="3" fillId="8" borderId="12" xfId="0" applyNumberFormat="1" applyFont="1" applyFill="1" applyBorder="1" applyAlignment="1">
      <alignment horizontal="center"/>
    </xf>
    <xf numFmtId="165" fontId="0" fillId="12" borderId="12" xfId="0" applyNumberFormat="1" applyFill="1" applyBorder="1"/>
    <xf numFmtId="9" fontId="0" fillId="12" borderId="12" xfId="3" applyFont="1" applyFill="1" applyBorder="1"/>
    <xf numFmtId="9" fontId="0" fillId="0" borderId="12" xfId="3" applyFont="1" applyBorder="1"/>
    <xf numFmtId="44" fontId="0" fillId="0" borderId="12" xfId="0" applyNumberFormat="1" applyBorder="1"/>
    <xf numFmtId="44" fontId="0" fillId="0" borderId="0" xfId="0" applyNumberFormat="1"/>
    <xf numFmtId="44" fontId="0" fillId="8" borderId="0" xfId="0" applyNumberFormat="1" applyFill="1"/>
    <xf numFmtId="0" fontId="3" fillId="0" borderId="0" xfId="0" applyFont="1" applyAlignment="1">
      <alignment horizontal="left"/>
    </xf>
    <xf numFmtId="10" fontId="0" fillId="0" borderId="0" xfId="0" applyNumberForma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10" fontId="10" fillId="0" borderId="0" xfId="0" applyNumberFormat="1" applyFont="1" applyAlignment="1">
      <alignment vertical="center" wrapText="1"/>
    </xf>
    <xf numFmtId="9" fontId="0" fillId="0" borderId="0" xfId="3" applyFont="1"/>
    <xf numFmtId="164" fontId="0" fillId="11" borderId="12" xfId="0" applyNumberFormat="1" applyFill="1" applyBorder="1"/>
    <xf numFmtId="164" fontId="0" fillId="8" borderId="0" xfId="0" applyNumberFormat="1" applyFill="1"/>
    <xf numFmtId="0" fontId="3" fillId="8" borderId="12" xfId="0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7" fontId="0" fillId="0" borderId="12" xfId="0" applyNumberFormat="1" applyBorder="1"/>
    <xf numFmtId="10" fontId="0" fillId="0" borderId="12" xfId="0" applyNumberFormat="1" applyBorder="1"/>
    <xf numFmtId="9" fontId="3" fillId="8" borderId="12" xfId="3" applyFont="1" applyFill="1" applyBorder="1" applyAlignment="1">
      <alignment horizontal="center"/>
    </xf>
    <xf numFmtId="9" fontId="3" fillId="8" borderId="20" xfId="3" applyFont="1" applyFill="1" applyBorder="1" applyAlignment="1">
      <alignment horizontal="center"/>
    </xf>
    <xf numFmtId="8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3" fillId="0" borderId="12" xfId="3" applyFont="1" applyFill="1" applyBorder="1" applyAlignment="1">
      <alignment horizontal="center"/>
    </xf>
    <xf numFmtId="0" fontId="3" fillId="5" borderId="12" xfId="0" applyFont="1" applyFill="1" applyBorder="1"/>
    <xf numFmtId="8" fontId="3" fillId="0" borderId="12" xfId="0" applyNumberFormat="1" applyFont="1" applyBorder="1"/>
    <xf numFmtId="44" fontId="0" fillId="14" borderId="12" xfId="0" applyNumberFormat="1" applyFill="1" applyBorder="1"/>
    <xf numFmtId="10" fontId="0" fillId="0" borderId="19" xfId="0" applyNumberFormat="1" applyBorder="1" applyAlignment="1">
      <alignment horizontal="center"/>
    </xf>
    <xf numFmtId="8" fontId="3" fillId="0" borderId="0" xfId="0" applyNumberFormat="1" applyFont="1"/>
    <xf numFmtId="0" fontId="4" fillId="6" borderId="0" xfId="0" applyFont="1" applyFill="1"/>
    <xf numFmtId="164" fontId="0" fillId="14" borderId="0" xfId="0" applyNumberFormat="1" applyFill="1"/>
    <xf numFmtId="8" fontId="3" fillId="14" borderId="12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164" fontId="10" fillId="0" borderId="0" xfId="0" applyNumberFormat="1" applyFont="1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10" fontId="0" fillId="12" borderId="12" xfId="0" applyNumberForma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44" fontId="10" fillId="0" borderId="21" xfId="0" applyNumberFormat="1" applyFont="1" applyBorder="1" applyAlignment="1">
      <alignment horizontal="center"/>
    </xf>
    <xf numFmtId="44" fontId="10" fillId="0" borderId="20" xfId="0" applyNumberFormat="1" applyFont="1" applyBorder="1" applyAlignment="1">
      <alignment horizontal="center"/>
    </xf>
    <xf numFmtId="44" fontId="10" fillId="0" borderId="19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6" xfId="0" applyBorder="1" applyAlignment="1">
      <alignment horizont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5731-4A49-3E4C-A97F-D49865905381}">
  <dimension ref="B1:D10"/>
  <sheetViews>
    <sheetView zoomScale="180" zoomScaleNormal="180" workbookViewId="0">
      <selection activeCell="C11" sqref="C11"/>
    </sheetView>
  </sheetViews>
  <sheetFormatPr baseColWidth="10" defaultRowHeight="16" x14ac:dyDescent="0.2"/>
  <cols>
    <col min="1" max="1" width="6.83203125" style="1" customWidth="1"/>
    <col min="2" max="2" width="19.1640625" style="1" bestFit="1" customWidth="1"/>
    <col min="3" max="3" width="11.5" style="1" customWidth="1"/>
    <col min="4" max="4" width="17" style="1" customWidth="1"/>
    <col min="5" max="16384" width="10.83203125" style="1"/>
  </cols>
  <sheetData>
    <row r="1" spans="2:4" ht="17" thickBot="1" x14ac:dyDescent="0.25"/>
    <row r="2" spans="2:4" ht="17" thickBot="1" x14ac:dyDescent="0.25">
      <c r="B2" s="2" t="s">
        <v>0</v>
      </c>
      <c r="C2" s="3"/>
      <c r="D2" s="13"/>
    </row>
    <row r="3" spans="2:4" ht="17" thickBot="1" x14ac:dyDescent="0.25">
      <c r="B3" s="4" t="s">
        <v>1</v>
      </c>
      <c r="C3" s="5" t="s">
        <v>2</v>
      </c>
      <c r="D3" s="5" t="s">
        <v>3</v>
      </c>
    </row>
    <row r="4" spans="2:4" x14ac:dyDescent="0.2">
      <c r="B4" s="6"/>
      <c r="C4" s="7"/>
      <c r="D4" s="9"/>
    </row>
    <row r="5" spans="2:4" x14ac:dyDescent="0.2">
      <c r="B5" s="8"/>
      <c r="C5" s="9"/>
      <c r="D5" s="9"/>
    </row>
    <row r="6" spans="2:4" x14ac:dyDescent="0.2">
      <c r="B6" s="8"/>
      <c r="C6" s="9"/>
      <c r="D6" s="9"/>
    </row>
    <row r="7" spans="2:4" ht="17" thickBot="1" x14ac:dyDescent="0.25">
      <c r="B7" s="10"/>
      <c r="C7" s="11"/>
      <c r="D7" s="11"/>
    </row>
    <row r="10" spans="2:4" x14ac:dyDescent="0.2">
      <c r="B1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F61C-75D7-6044-A00E-4EAEBE39EFBE}">
  <dimension ref="A1:U94"/>
  <sheetViews>
    <sheetView tabSelected="1" zoomScale="111" zoomScaleNormal="110" workbookViewId="0">
      <selection activeCell="D44" sqref="D44"/>
    </sheetView>
  </sheetViews>
  <sheetFormatPr baseColWidth="10" defaultColWidth="8.83203125" defaultRowHeight="16" x14ac:dyDescent="0.2"/>
  <cols>
    <col min="1" max="1" width="11.83203125" customWidth="1"/>
    <col min="2" max="2" width="42.6640625" customWidth="1"/>
    <col min="3" max="3" width="17.33203125" customWidth="1"/>
    <col min="4" max="4" width="26.1640625" customWidth="1"/>
    <col min="5" max="5" width="32.33203125" customWidth="1"/>
    <col min="6" max="6" width="25.5" customWidth="1"/>
    <col min="7" max="7" width="27.5" customWidth="1"/>
    <col min="8" max="8" width="22.33203125" customWidth="1"/>
    <col min="9" max="9" width="19.1640625" customWidth="1"/>
    <col min="10" max="10" width="18.6640625" customWidth="1"/>
    <col min="11" max="11" width="20.83203125" customWidth="1"/>
    <col min="12" max="12" width="24.1640625" customWidth="1"/>
    <col min="13" max="14" width="11.83203125" bestFit="1" customWidth="1"/>
    <col min="15" max="15" width="15" customWidth="1"/>
    <col min="16" max="17" width="13" bestFit="1" customWidth="1"/>
    <col min="18" max="18" width="14.33203125" customWidth="1"/>
    <col min="19" max="19" width="13" customWidth="1"/>
    <col min="20" max="20" width="14.1640625" customWidth="1"/>
    <col min="21" max="21" width="13.33203125" customWidth="1"/>
    <col min="22" max="22" width="11.1640625" customWidth="1"/>
    <col min="23" max="23" width="11.6640625" customWidth="1"/>
  </cols>
  <sheetData>
    <row r="1" spans="1:20" x14ac:dyDescent="0.2">
      <c r="A1" s="107" t="s">
        <v>12</v>
      </c>
      <c r="B1" s="107"/>
      <c r="C1" s="107"/>
      <c r="D1" s="107"/>
      <c r="E1" s="107"/>
      <c r="F1" s="107"/>
      <c r="G1" s="107"/>
      <c r="H1" s="107"/>
    </row>
    <row r="2" spans="1:20" x14ac:dyDescent="0.2">
      <c r="A2" s="108" t="s">
        <v>5</v>
      </c>
      <c r="B2" s="108"/>
      <c r="C2" s="108"/>
      <c r="D2" s="108"/>
      <c r="E2" s="108"/>
      <c r="F2" s="108"/>
      <c r="G2" s="108"/>
      <c r="H2" s="108"/>
      <c r="J2" s="133" t="s">
        <v>51</v>
      </c>
      <c r="K2" s="133"/>
      <c r="L2" s="133"/>
      <c r="M2" s="29">
        <v>242.76</v>
      </c>
    </row>
    <row r="3" spans="1:20" x14ac:dyDescent="0.2">
      <c r="A3" s="14"/>
      <c r="B3" s="14" t="s">
        <v>6</v>
      </c>
      <c r="C3" s="109">
        <v>4.9200000000000001E-2</v>
      </c>
      <c r="D3" s="109"/>
      <c r="E3" s="109"/>
      <c r="F3" s="109"/>
      <c r="G3" s="109"/>
      <c r="H3" s="109"/>
      <c r="K3" t="s">
        <v>52</v>
      </c>
    </row>
    <row r="4" spans="1:20" x14ac:dyDescent="0.2">
      <c r="A4" s="14"/>
      <c r="B4" s="14" t="s">
        <v>7</v>
      </c>
      <c r="C4" s="110">
        <v>1.22</v>
      </c>
      <c r="D4" s="111"/>
      <c r="E4" s="111"/>
      <c r="F4" s="111"/>
      <c r="G4" s="111"/>
      <c r="H4" s="112"/>
    </row>
    <row r="5" spans="1:20" x14ac:dyDescent="0.2">
      <c r="A5" s="14"/>
      <c r="B5" s="14" t="s">
        <v>24</v>
      </c>
      <c r="C5" s="116">
        <v>0.05</v>
      </c>
      <c r="D5" s="117"/>
      <c r="E5" s="117"/>
      <c r="F5" s="117"/>
      <c r="G5" s="117"/>
      <c r="H5" s="118"/>
    </row>
    <row r="6" spans="1:20" x14ac:dyDescent="0.2">
      <c r="A6" s="14"/>
      <c r="B6" s="14" t="s">
        <v>25</v>
      </c>
      <c r="C6" s="113">
        <f>(C3+C4*(C5))</f>
        <v>0.11019999999999999</v>
      </c>
      <c r="D6" s="114"/>
      <c r="E6" s="114"/>
      <c r="F6" s="114"/>
      <c r="G6" s="114"/>
      <c r="H6" s="115"/>
    </row>
    <row r="7" spans="1:20" x14ac:dyDescent="0.2">
      <c r="A7" s="108" t="s">
        <v>10</v>
      </c>
      <c r="B7" s="108"/>
      <c r="C7" s="108"/>
      <c r="D7" s="108"/>
      <c r="E7" s="108"/>
      <c r="F7" s="108"/>
      <c r="G7" s="108"/>
      <c r="H7" s="108"/>
      <c r="I7" s="136" t="s">
        <v>37</v>
      </c>
      <c r="J7" s="137"/>
      <c r="K7" s="137"/>
      <c r="L7" s="137"/>
      <c r="M7" s="137"/>
      <c r="N7" s="137"/>
      <c r="O7" s="137"/>
      <c r="P7" s="137"/>
      <c r="Q7" s="137"/>
    </row>
    <row r="8" spans="1:20" x14ac:dyDescent="0.2">
      <c r="A8" s="119" t="s">
        <v>61</v>
      </c>
      <c r="B8" s="119"/>
      <c r="C8" s="119"/>
      <c r="D8" s="119"/>
      <c r="E8" s="119"/>
      <c r="F8" s="119"/>
      <c r="G8" s="119"/>
      <c r="H8" s="119"/>
      <c r="I8" s="134" t="s">
        <v>65</v>
      </c>
      <c r="J8" s="135"/>
      <c r="K8" s="135"/>
      <c r="L8" s="135"/>
      <c r="M8" s="135"/>
      <c r="N8" s="135"/>
      <c r="O8" s="135"/>
      <c r="P8" s="135"/>
      <c r="Q8" s="135"/>
    </row>
    <row r="9" spans="1:20" x14ac:dyDescent="0.2">
      <c r="A9" s="108" t="s">
        <v>8</v>
      </c>
      <c r="B9" s="108"/>
      <c r="C9" s="108"/>
      <c r="D9" s="108"/>
      <c r="E9" s="108"/>
      <c r="F9" s="108"/>
      <c r="G9" s="108"/>
      <c r="H9" s="108"/>
      <c r="I9" s="134"/>
      <c r="J9" s="135"/>
      <c r="K9" s="135"/>
      <c r="L9" s="135"/>
      <c r="M9" s="135"/>
      <c r="N9" s="135"/>
      <c r="O9" s="135"/>
      <c r="P9" s="135"/>
      <c r="Q9" s="135"/>
    </row>
    <row r="10" spans="1:20" x14ac:dyDescent="0.2">
      <c r="A10" s="120"/>
      <c r="B10" s="121"/>
      <c r="C10" s="108" t="s">
        <v>18</v>
      </c>
      <c r="D10" s="108"/>
      <c r="E10" s="108"/>
      <c r="F10" s="42"/>
      <c r="G10" s="125" t="s">
        <v>9</v>
      </c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20" x14ac:dyDescent="0.2">
      <c r="A11" s="15"/>
      <c r="B11" s="15"/>
      <c r="C11" s="24">
        <v>2022</v>
      </c>
      <c r="D11" s="24">
        <v>2023</v>
      </c>
      <c r="E11" s="24">
        <v>2024</v>
      </c>
      <c r="F11" s="24" t="s">
        <v>54</v>
      </c>
      <c r="G11" s="16" t="s">
        <v>55</v>
      </c>
      <c r="H11" s="16">
        <v>2026</v>
      </c>
      <c r="I11" s="16">
        <v>2027</v>
      </c>
      <c r="J11" s="16">
        <v>2028</v>
      </c>
      <c r="K11" s="16">
        <v>2029</v>
      </c>
      <c r="L11" s="16">
        <v>2030</v>
      </c>
      <c r="M11" s="16">
        <v>2031</v>
      </c>
      <c r="N11" s="16">
        <v>2032</v>
      </c>
      <c r="O11" s="16">
        <v>2033</v>
      </c>
      <c r="P11" s="16">
        <v>2034</v>
      </c>
      <c r="Q11" s="16">
        <v>2035</v>
      </c>
      <c r="R11" t="s">
        <v>34</v>
      </c>
    </row>
    <row r="12" spans="1:20" x14ac:dyDescent="0.2">
      <c r="A12" s="14"/>
      <c r="B12" s="14" t="s">
        <v>19</v>
      </c>
      <c r="C12" s="29">
        <v>0</v>
      </c>
      <c r="D12" s="29">
        <v>0</v>
      </c>
      <c r="E12" s="29">
        <f>1537/962</f>
        <v>1.5977130977130978</v>
      </c>
      <c r="F12" s="29">
        <f>801/(1067-112)</f>
        <v>0.83874345549738216</v>
      </c>
      <c r="G12" s="30">
        <v>0.84</v>
      </c>
      <c r="H12" s="30">
        <f>1.68*(1+T14)</f>
        <v>1.7652036584493487</v>
      </c>
      <c r="I12" s="31">
        <f>H12*(1+$T$14)</f>
        <v>1.8547285451208124</v>
      </c>
      <c r="J12" s="31">
        <f>I12*(1+$T$14)</f>
        <v>1.9487938174271999</v>
      </c>
      <c r="K12" s="31">
        <f t="shared" ref="K12:P12" si="0">J12*(1+$T$14)</f>
        <v>2.0476297476702174</v>
      </c>
      <c r="L12" s="31">
        <f t="shared" si="0"/>
        <v>2.1514782867483242</v>
      </c>
      <c r="M12" s="31">
        <f t="shared" si="0"/>
        <v>2.2605936564538562</v>
      </c>
      <c r="N12" s="31">
        <f t="shared" si="0"/>
        <v>2.3752429718093673</v>
      </c>
      <c r="O12" s="31">
        <f t="shared" si="0"/>
        <v>2.4957068949666654</v>
      </c>
      <c r="P12" s="31">
        <f t="shared" si="0"/>
        <v>2.6222803222692987</v>
      </c>
      <c r="Q12" s="78">
        <f>P12*(1+T14)/(C6-P14)</f>
        <v>45.768656248511945</v>
      </c>
    </row>
    <row r="13" spans="1:20" x14ac:dyDescent="0.2">
      <c r="A13" s="14"/>
      <c r="B13" s="14" t="s">
        <v>20</v>
      </c>
      <c r="C13" s="17" t="s">
        <v>23</v>
      </c>
      <c r="D13" s="17" t="s">
        <v>23</v>
      </c>
      <c r="E13" s="17" t="s">
        <v>23</v>
      </c>
      <c r="F13" s="17"/>
      <c r="G13" s="32">
        <f>G12/(1+C6/2)</f>
        <v>0.79613306795564409</v>
      </c>
      <c r="H13" s="32">
        <f>H12/(1+$C$6)</f>
        <v>1.5899870820116633</v>
      </c>
      <c r="I13" s="32">
        <f>I12/(1+$C$6)^2</f>
        <v>1.5047969767642642</v>
      </c>
      <c r="J13" s="32">
        <f>J12/(1+$C$6)^3</f>
        <v>1.4241712822055863</v>
      </c>
      <c r="K13" s="32">
        <f>K12/(1+$C$6)^4</f>
        <v>1.3478654412374222</v>
      </c>
      <c r="L13" s="32">
        <f>L12/(1+$C$6)^5</f>
        <v>1.2756479999151502</v>
      </c>
      <c r="M13" s="32">
        <f>M12/(1+$C$6)^6</f>
        <v>1.2072999053923237</v>
      </c>
      <c r="N13" s="32">
        <f>N12/(1+$C$6)^7</f>
        <v>1.1426138414807725</v>
      </c>
      <c r="O13" s="32">
        <f>O12/(1+$C$6)^8</f>
        <v>1.0813935998108042</v>
      </c>
      <c r="P13" s="32">
        <f>P12/(1+$C$6)^9</f>
        <v>1.0234534846840886</v>
      </c>
      <c r="Q13" s="14" t="s">
        <v>23</v>
      </c>
    </row>
    <row r="14" spans="1:20" x14ac:dyDescent="0.2">
      <c r="A14" s="14"/>
      <c r="B14" s="26" t="s">
        <v>23</v>
      </c>
      <c r="C14" s="27"/>
      <c r="D14" s="27"/>
      <c r="E14" s="27"/>
      <c r="F14" s="27"/>
      <c r="G14" s="27"/>
      <c r="H14" s="27"/>
      <c r="I14" s="18"/>
      <c r="J14" s="18"/>
      <c r="M14" s="127" t="s">
        <v>22</v>
      </c>
      <c r="N14" s="127"/>
      <c r="O14" s="127"/>
      <c r="P14" s="33">
        <v>0.05</v>
      </c>
      <c r="Q14" t="s">
        <v>36</v>
      </c>
      <c r="S14" t="s">
        <v>60</v>
      </c>
      <c r="T14" s="77">
        <f>(G12+F12)/E12 -1</f>
        <v>5.071646336270752E-2</v>
      </c>
    </row>
    <row r="15" spans="1:20" x14ac:dyDescent="0.2">
      <c r="A15" s="14"/>
      <c r="B15" s="26"/>
      <c r="C15" s="27"/>
      <c r="D15" s="27"/>
      <c r="E15" s="27"/>
      <c r="F15" s="27"/>
      <c r="G15" s="27"/>
      <c r="H15" s="27"/>
      <c r="I15" s="18"/>
      <c r="J15" s="18"/>
      <c r="M15" s="127" t="s">
        <v>53</v>
      </c>
      <c r="N15" s="127"/>
      <c r="O15" s="127"/>
      <c r="P15" s="79">
        <f>Q12</f>
        <v>45.768656248511945</v>
      </c>
    </row>
    <row r="16" spans="1:20" x14ac:dyDescent="0.2">
      <c r="A16" s="14"/>
      <c r="B16" s="26"/>
      <c r="C16" s="27"/>
      <c r="D16" s="27"/>
      <c r="E16" s="27"/>
      <c r="F16" s="27"/>
      <c r="G16" s="27"/>
      <c r="H16" s="27"/>
      <c r="I16" s="18"/>
      <c r="J16" s="18"/>
      <c r="M16" s="25" t="s">
        <v>21</v>
      </c>
      <c r="N16" s="25"/>
      <c r="O16" s="25"/>
      <c r="P16" s="79">
        <f>P15/(1+C6)^9</f>
        <v>17.863113386104729</v>
      </c>
    </row>
    <row r="17" spans="1:14" x14ac:dyDescent="0.2">
      <c r="A17" s="14"/>
      <c r="B17" s="14"/>
      <c r="C17" s="122"/>
      <c r="D17" s="123"/>
      <c r="E17" s="123"/>
      <c r="F17" s="123"/>
      <c r="G17" s="123"/>
      <c r="H17" s="124"/>
    </row>
    <row r="18" spans="1:14" x14ac:dyDescent="0.2">
      <c r="A18" s="14"/>
      <c r="B18" s="14"/>
      <c r="C18" s="93"/>
      <c r="D18" s="93"/>
      <c r="E18" s="93"/>
      <c r="F18" s="93"/>
      <c r="G18" s="93"/>
      <c r="H18" s="93"/>
    </row>
    <row r="19" spans="1:14" x14ac:dyDescent="0.2">
      <c r="A19" s="14"/>
      <c r="B19" s="14"/>
      <c r="C19" s="93"/>
      <c r="D19" s="93"/>
      <c r="E19" s="93"/>
      <c r="F19" s="93"/>
      <c r="G19" s="93"/>
      <c r="H19" s="93"/>
    </row>
    <row r="20" spans="1:14" x14ac:dyDescent="0.2">
      <c r="A20" s="14"/>
      <c r="B20" s="14" t="s">
        <v>4</v>
      </c>
      <c r="C20" s="97">
        <f>SUM(G13:P13) + P16</f>
        <v>30.256476067562446</v>
      </c>
      <c r="D20" s="87"/>
      <c r="E20" s="87"/>
      <c r="F20" s="87"/>
      <c r="G20" s="87"/>
      <c r="H20" s="87"/>
    </row>
    <row r="21" spans="1:14" x14ac:dyDescent="0.2">
      <c r="A21" s="108" t="s">
        <v>74</v>
      </c>
      <c r="B21" s="108"/>
      <c r="C21" s="108"/>
      <c r="D21" s="108"/>
      <c r="E21" s="108"/>
      <c r="F21" s="108"/>
      <c r="G21" s="108"/>
      <c r="H21" s="108"/>
    </row>
    <row r="22" spans="1:14" x14ac:dyDescent="0.2">
      <c r="A22" s="14"/>
      <c r="B22" s="14"/>
      <c r="C22" s="88"/>
      <c r="D22" s="88"/>
      <c r="E22" s="101" t="s">
        <v>62</v>
      </c>
      <c r="F22" s="102"/>
      <c r="G22" s="102"/>
      <c r="H22" s="103"/>
    </row>
    <row r="23" spans="1:14" x14ac:dyDescent="0.2">
      <c r="A23" s="14"/>
      <c r="B23" s="14"/>
      <c r="C23" s="88"/>
      <c r="D23" s="66">
        <f>C20</f>
        <v>30.256476067562446</v>
      </c>
      <c r="E23" s="85">
        <v>0.08</v>
      </c>
      <c r="F23" s="85">
        <v>0.09</v>
      </c>
      <c r="G23" s="85">
        <v>0.1</v>
      </c>
      <c r="H23" s="85">
        <v>0.11</v>
      </c>
      <c r="I23" s="86">
        <v>0.12</v>
      </c>
    </row>
    <row r="24" spans="1:14" x14ac:dyDescent="0.2">
      <c r="A24" s="14"/>
      <c r="B24" s="14"/>
      <c r="C24" s="104" t="s">
        <v>63</v>
      </c>
      <c r="D24" s="89">
        <v>0.01</v>
      </c>
      <c r="E24" s="80">
        <f t="dataTable" ref="E24:I30" dt2D="1" dtr="1" r1="C6" r2="P14"/>
        <v>33.709571766161289</v>
      </c>
      <c r="F24" s="80">
        <v>29.302793452320518</v>
      </c>
      <c r="G24" s="80">
        <v>25.890855331136578</v>
      </c>
      <c r="H24" s="80">
        <v>23.174171634915091</v>
      </c>
      <c r="I24">
        <v>20.962189422578611</v>
      </c>
    </row>
    <row r="25" spans="1:14" x14ac:dyDescent="0.2">
      <c r="A25" s="14"/>
      <c r="B25" s="14"/>
      <c r="C25" s="105"/>
      <c r="D25" s="89">
        <v>0.02</v>
      </c>
      <c r="E25" s="80">
        <v>36.991292065022805</v>
      </c>
      <c r="F25" s="80">
        <v>31.568158234874847</v>
      </c>
      <c r="G25" s="80">
        <v>27.513778612092679</v>
      </c>
      <c r="H25" s="80">
        <v>24.370954423003536</v>
      </c>
      <c r="I25">
        <v>21.865443153163689</v>
      </c>
    </row>
    <row r="26" spans="1:14" x14ac:dyDescent="0.2">
      <c r="A26" s="14"/>
      <c r="B26" s="14"/>
      <c r="C26" s="105"/>
      <c r="D26" s="89">
        <v>0.03</v>
      </c>
      <c r="E26" s="80">
        <v>41.585700483428923</v>
      </c>
      <c r="F26" s="80">
        <v>34.588644611613944</v>
      </c>
      <c r="G26" s="80">
        <v>29.600394259036232</v>
      </c>
      <c r="H26" s="80">
        <v>25.866932908114087</v>
      </c>
      <c r="I26">
        <v>22.96941993498989</v>
      </c>
    </row>
    <row r="27" spans="1:14" x14ac:dyDescent="0.2">
      <c r="A27" s="14"/>
      <c r="B27" s="14"/>
      <c r="C27" s="105"/>
      <c r="D27" s="89">
        <v>0.04</v>
      </c>
      <c r="E27" s="80">
        <v>48.477313111038107</v>
      </c>
      <c r="F27" s="80">
        <v>38.817325539048696</v>
      </c>
      <c r="G27" s="80">
        <v>32.382548454960975</v>
      </c>
      <c r="H27" s="80">
        <v>27.790333817541942</v>
      </c>
      <c r="I27">
        <v>24.349390912272646</v>
      </c>
    </row>
    <row r="28" spans="1:14" x14ac:dyDescent="0.2">
      <c r="A28" s="14"/>
      <c r="B28" s="14"/>
      <c r="C28" s="105"/>
      <c r="D28" s="89">
        <v>0.05</v>
      </c>
      <c r="E28" s="80">
        <v>59.963334157053403</v>
      </c>
      <c r="F28" s="80">
        <v>45.160346930200809</v>
      </c>
      <c r="G28" s="80">
        <v>36.277564329255611</v>
      </c>
      <c r="H28" s="80">
        <v>30.35486836344575</v>
      </c>
      <c r="I28">
        <v>26.123639311636186</v>
      </c>
    </row>
    <row r="29" spans="1:14" x14ac:dyDescent="0.2">
      <c r="A29" s="14"/>
      <c r="B29" s="14"/>
      <c r="C29" s="105"/>
      <c r="D29" s="89">
        <v>0.06</v>
      </c>
      <c r="E29" s="80">
        <v>82.935376249084001</v>
      </c>
      <c r="F29" s="80">
        <v>55.732049248787661</v>
      </c>
      <c r="G29" s="80">
        <v>42.120088140697568</v>
      </c>
      <c r="H29" s="80">
        <v>33.945216727711085</v>
      </c>
      <c r="I29">
        <v>28.489303844120904</v>
      </c>
    </row>
    <row r="30" spans="1:14" x14ac:dyDescent="0.2">
      <c r="A30" s="14"/>
      <c r="B30" s="14"/>
      <c r="C30" s="106"/>
      <c r="D30" s="89">
        <v>7.0000000000000007E-2</v>
      </c>
      <c r="E30" s="80">
        <v>151.8515025251759</v>
      </c>
      <c r="F30" s="80">
        <v>76.875453885961406</v>
      </c>
      <c r="G30" s="80">
        <v>51.857627826434168</v>
      </c>
      <c r="H30" s="80">
        <v>39.330739274109078</v>
      </c>
      <c r="I30">
        <v>31.801234189599519</v>
      </c>
    </row>
    <row r="31" spans="1:14" x14ac:dyDescent="0.2">
      <c r="I31" s="138" t="s">
        <v>26</v>
      </c>
      <c r="J31" s="133"/>
      <c r="K31" s="133"/>
      <c r="L31" s="133"/>
      <c r="M31" s="133"/>
      <c r="N31" s="133"/>
    </row>
    <row r="32" spans="1:14" x14ac:dyDescent="0.2">
      <c r="A32" s="19"/>
      <c r="B32" s="19"/>
      <c r="C32" s="20"/>
      <c r="D32" s="20"/>
      <c r="E32" s="20"/>
      <c r="F32" s="20"/>
      <c r="G32" s="20"/>
      <c r="H32" s="20"/>
      <c r="I32" s="138" t="s">
        <v>69</v>
      </c>
      <c r="J32" s="133"/>
      <c r="K32" s="133"/>
      <c r="L32" s="133"/>
      <c r="M32" s="133"/>
      <c r="N32" s="133"/>
    </row>
    <row r="33" spans="1:21" x14ac:dyDescent="0.2">
      <c r="A33" s="14"/>
      <c r="B33" s="14"/>
      <c r="C33" s="14"/>
      <c r="D33" s="14"/>
      <c r="E33" s="14"/>
      <c r="F33" s="14"/>
      <c r="G33" s="14"/>
      <c r="H33" s="14"/>
      <c r="I33" s="138"/>
      <c r="J33" s="133"/>
      <c r="K33" s="133"/>
      <c r="L33" s="133"/>
      <c r="M33" s="133"/>
      <c r="N33" s="133"/>
    </row>
    <row r="34" spans="1:21" x14ac:dyDescent="0.2">
      <c r="A34" s="14"/>
      <c r="B34" s="19"/>
      <c r="C34" s="20"/>
      <c r="D34" s="20"/>
      <c r="E34" s="20"/>
      <c r="F34" s="20"/>
      <c r="G34" s="20"/>
      <c r="H34" s="20"/>
      <c r="I34" s="138"/>
      <c r="J34" s="133"/>
      <c r="K34" s="133"/>
      <c r="L34" s="133"/>
      <c r="M34" s="133"/>
      <c r="N34" s="133"/>
    </row>
    <row r="35" spans="1:21" x14ac:dyDescent="0.2">
      <c r="A35" s="14"/>
      <c r="B35" s="14"/>
      <c r="C35" s="14"/>
      <c r="D35" s="14"/>
      <c r="E35" s="14"/>
      <c r="F35" s="14"/>
      <c r="G35" s="14"/>
      <c r="H35" s="14"/>
      <c r="I35" s="138"/>
      <c r="J35" s="133"/>
      <c r="K35" s="133"/>
      <c r="L35" s="133"/>
      <c r="M35" s="133"/>
      <c r="N35" s="133"/>
    </row>
    <row r="36" spans="1:21" x14ac:dyDescent="0.2">
      <c r="A36" s="49" t="s">
        <v>11</v>
      </c>
      <c r="B36" s="50"/>
      <c r="C36" s="50"/>
      <c r="D36" s="50"/>
      <c r="E36" s="50"/>
      <c r="F36" s="50"/>
      <c r="G36" s="50"/>
      <c r="H36" s="50"/>
    </row>
    <row r="37" spans="1:21" x14ac:dyDescent="0.2">
      <c r="A37" s="51" t="s">
        <v>27</v>
      </c>
      <c r="B37" s="52"/>
      <c r="C37" s="24" t="s">
        <v>23</v>
      </c>
      <c r="D37" s="24">
        <v>2022</v>
      </c>
      <c r="E37" s="24">
        <v>2023</v>
      </c>
      <c r="F37" s="24">
        <v>2024</v>
      </c>
      <c r="G37" s="16">
        <v>2025</v>
      </c>
      <c r="H37" s="16">
        <v>2026</v>
      </c>
      <c r="I37" s="16">
        <v>2027</v>
      </c>
      <c r="J37" s="16">
        <v>2028</v>
      </c>
      <c r="K37" s="16">
        <v>2029</v>
      </c>
      <c r="L37" s="16">
        <v>2030</v>
      </c>
      <c r="M37" s="16">
        <v>2031</v>
      </c>
      <c r="N37" s="16">
        <v>2032</v>
      </c>
      <c r="O37" s="16">
        <v>2033</v>
      </c>
      <c r="P37" s="16">
        <v>2034</v>
      </c>
      <c r="Q37" s="16">
        <v>2035</v>
      </c>
      <c r="R37" t="s">
        <v>34</v>
      </c>
    </row>
    <row r="38" spans="1:21" x14ac:dyDescent="0.2">
      <c r="A38" s="19"/>
      <c r="B38" s="19"/>
      <c r="C38" s="45" t="s">
        <v>23</v>
      </c>
      <c r="D38" s="34">
        <f>8721.5</f>
        <v>8721.5</v>
      </c>
      <c r="E38" s="34">
        <f>10206</f>
        <v>10206</v>
      </c>
      <c r="F38" s="34">
        <f>11376</f>
        <v>11376</v>
      </c>
      <c r="G38" s="35">
        <f>14207</f>
        <v>14207</v>
      </c>
      <c r="H38" s="35">
        <f>G38*(1+U40)</f>
        <v>16716.272630859599</v>
      </c>
      <c r="I38" s="36">
        <f>H38*(1+U40)</f>
        <v>19668.738697066638</v>
      </c>
      <c r="J38" s="36">
        <f>I38*(1+U40)</f>
        <v>23142.67603049934</v>
      </c>
      <c r="K38" s="36">
        <f>J38*(1+U40)</f>
        <v>27230.188071618679</v>
      </c>
      <c r="L38" s="35">
        <f>K38*(1+U40)</f>
        <v>32039.645779880258</v>
      </c>
      <c r="M38" s="35">
        <f>L38*(1+U40)</f>
        <v>37698.560839913327</v>
      </c>
      <c r="N38" s="35">
        <f>M38*(1+U40)</f>
        <v>44356.966339905579</v>
      </c>
      <c r="O38" s="35">
        <f>N38*(1+U40)</f>
        <v>52191.394553088205</v>
      </c>
      <c r="P38" s="35">
        <f>O38*(1+U40)</f>
        <v>61409.557284027811</v>
      </c>
      <c r="Q38" s="37">
        <f>P38*(1+P40)/(C42-P40)</f>
        <v>768803.31154293439</v>
      </c>
      <c r="R38" t="s">
        <v>35</v>
      </c>
    </row>
    <row r="39" spans="1:21" x14ac:dyDescent="0.2">
      <c r="A39" s="23" t="s">
        <v>58</v>
      </c>
      <c r="B39" s="23"/>
      <c r="C39" s="38" t="s">
        <v>23</v>
      </c>
      <c r="D39" s="38" t="s">
        <v>23</v>
      </c>
      <c r="E39" s="38" t="s">
        <v>23</v>
      </c>
      <c r="F39" s="38"/>
      <c r="G39" s="39"/>
      <c r="H39" s="39">
        <f>H38/(1+C42)</f>
        <v>15176.270481061323</v>
      </c>
      <c r="I39" s="40">
        <f>I38/(1+$C$42)^2</f>
        <v>16211.6692978344</v>
      </c>
      <c r="J39" s="40">
        <f>J38/(1+$C$42)^3</f>
        <v>17317.70804627665</v>
      </c>
      <c r="K39" s="40">
        <f>K38/(1+$C$42)^4</f>
        <v>18499.206125314737</v>
      </c>
      <c r="L39" s="40">
        <f>L38/(1+$C$42)^5</f>
        <v>19761.311736656779</v>
      </c>
      <c r="M39" s="40">
        <f>M38/(1+$C$42)^6</f>
        <v>21109.524317313648</v>
      </c>
      <c r="N39" s="40">
        <f>N38/(1+$C$42)^7</f>
        <v>22549.718502575724</v>
      </c>
      <c r="O39" s="40">
        <f>O38/(1+$C$42)^8</f>
        <v>24088.169723860228</v>
      </c>
      <c r="P39" s="40">
        <f>P38/(1+$C$42)^9</f>
        <v>25731.581552967909</v>
      </c>
      <c r="Q39" s="38" t="s">
        <v>23</v>
      </c>
    </row>
    <row r="40" spans="1:21" x14ac:dyDescent="0.2">
      <c r="A40" s="23"/>
      <c r="B40" s="23"/>
      <c r="C40" s="27"/>
      <c r="D40" s="27"/>
      <c r="E40" s="27"/>
      <c r="F40" s="27"/>
      <c r="G40" s="27"/>
      <c r="H40" s="27"/>
      <c r="I40" s="18"/>
      <c r="J40" s="18"/>
      <c r="M40" s="127" t="s">
        <v>22</v>
      </c>
      <c r="N40" s="127"/>
      <c r="O40" s="127"/>
      <c r="P40" s="33">
        <v>0.02</v>
      </c>
      <c r="Q40" t="s">
        <v>36</v>
      </c>
      <c r="T40" t="s">
        <v>56</v>
      </c>
      <c r="U40">
        <f>(G38/D38)^(1/3) - 1</f>
        <v>0.17662227288376142</v>
      </c>
    </row>
    <row r="41" spans="1:21" x14ac:dyDescent="0.2">
      <c r="A41" s="53"/>
      <c r="B41" s="48"/>
      <c r="C41" s="17"/>
      <c r="D41" s="22" t="s">
        <v>49</v>
      </c>
      <c r="E41" s="22" t="s">
        <v>50</v>
      </c>
      <c r="F41" s="22"/>
      <c r="G41" s="22" t="s">
        <v>17</v>
      </c>
      <c r="H41" s="22" t="s">
        <v>13</v>
      </c>
      <c r="I41" s="22" t="s">
        <v>14</v>
      </c>
      <c r="J41" s="22" t="s">
        <v>15</v>
      </c>
      <c r="M41" s="127" t="s">
        <v>53</v>
      </c>
      <c r="N41" s="127"/>
      <c r="O41" s="127"/>
      <c r="P41" s="72">
        <f>Q38</f>
        <v>768803.31154293439</v>
      </c>
      <c r="U41" s="71"/>
    </row>
    <row r="42" spans="1:21" x14ac:dyDescent="0.2">
      <c r="A42" s="23" t="s">
        <v>29</v>
      </c>
      <c r="B42" s="23"/>
      <c r="C42" s="28">
        <f>(D42/G42)* I42 +( E42/G42)*H42*(1-J42)</f>
        <v>0.10147434784587334</v>
      </c>
      <c r="D42" s="29">
        <f>(1067-112)*M2</f>
        <v>231835.8</v>
      </c>
      <c r="E42" s="67">
        <f>36245</f>
        <v>36245</v>
      </c>
      <c r="F42" s="41"/>
      <c r="G42" s="22">
        <f>D42+E42</f>
        <v>268080.8</v>
      </c>
      <c r="H42" s="68">
        <v>5.7799999999999997E-2</v>
      </c>
      <c r="I42" s="69">
        <f>C6</f>
        <v>0.11019999999999999</v>
      </c>
      <c r="J42" s="14">
        <v>0.21</v>
      </c>
      <c r="M42" s="25" t="s">
        <v>21</v>
      </c>
      <c r="N42" s="25"/>
      <c r="O42" s="25"/>
      <c r="P42" s="72">
        <f>P41/(1+C42)^9</f>
        <v>322140.81950895459</v>
      </c>
    </row>
    <row r="43" spans="1:21" x14ac:dyDescent="0.2">
      <c r="A43" s="56"/>
      <c r="B43" s="57"/>
      <c r="C43" s="58"/>
      <c r="D43" s="14" t="s">
        <v>57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21" x14ac:dyDescent="0.2">
      <c r="A44" s="15" t="s">
        <v>31</v>
      </c>
      <c r="B44" s="15"/>
      <c r="C44" s="91"/>
      <c r="D44" s="70">
        <f>SUM(H39:P39)+P42</f>
        <v>502585.97929281602</v>
      </c>
      <c r="E44" s="14"/>
      <c r="F44" s="44"/>
      <c r="G44" s="63" t="s">
        <v>38</v>
      </c>
      <c r="H44" s="64"/>
      <c r="I44" s="64"/>
      <c r="J44" s="64"/>
      <c r="K44" s="64"/>
      <c r="L44" s="64"/>
      <c r="M44" s="64"/>
      <c r="N44" s="64"/>
      <c r="O44" s="64"/>
      <c r="P44" s="14"/>
    </row>
    <row r="45" spans="1:21" x14ac:dyDescent="0.2">
      <c r="A45" s="15" t="s">
        <v>32</v>
      </c>
      <c r="B45" s="15"/>
      <c r="C45" s="91"/>
      <c r="D45" s="70">
        <f>D44-E42</f>
        <v>466340.97929281602</v>
      </c>
      <c r="E45" s="14"/>
      <c r="F45" s="44"/>
      <c r="G45" s="61" t="s">
        <v>70</v>
      </c>
      <c r="H45" s="62"/>
      <c r="I45" s="62"/>
      <c r="J45" s="62"/>
      <c r="K45" s="62"/>
      <c r="L45" s="62"/>
      <c r="M45" s="62"/>
      <c r="N45" s="62"/>
      <c r="O45" s="62"/>
      <c r="P45" s="14"/>
    </row>
    <row r="46" spans="1:21" x14ac:dyDescent="0.2">
      <c r="A46" s="15" t="s">
        <v>33</v>
      </c>
      <c r="B46" s="15"/>
      <c r="C46" s="14"/>
      <c r="D46" s="14">
        <f>(1067-112)</f>
        <v>955</v>
      </c>
      <c r="E46" s="14"/>
      <c r="F46" s="44"/>
      <c r="G46" s="61"/>
      <c r="H46" s="62"/>
      <c r="I46" s="62"/>
      <c r="J46" s="62"/>
      <c r="K46" s="62"/>
      <c r="L46" s="62"/>
      <c r="M46" s="62"/>
      <c r="N46" s="62"/>
      <c r="O46" s="62"/>
      <c r="P46" s="14"/>
    </row>
    <row r="47" spans="1:21" x14ac:dyDescent="0.2">
      <c r="A47" s="15" t="s">
        <v>30</v>
      </c>
      <c r="B47" s="15"/>
      <c r="C47" s="91"/>
      <c r="D47" s="92">
        <f>(D45/D46)</f>
        <v>488.31516156315814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21" x14ac:dyDescent="0.2">
      <c r="A48" s="81"/>
      <c r="B48" s="82"/>
      <c r="C48" s="91"/>
      <c r="D48" s="70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8" x14ac:dyDescent="0.2">
      <c r="A49" s="81"/>
      <c r="B49" s="82"/>
      <c r="C49" s="91"/>
      <c r="D49" s="70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8" x14ac:dyDescent="0.2">
      <c r="A50" s="54" t="s">
        <v>71</v>
      </c>
      <c r="B50" s="98"/>
      <c r="C50" s="98"/>
      <c r="D50" s="98"/>
      <c r="E50" s="98"/>
      <c r="F50" s="98"/>
      <c r="G50" s="98"/>
      <c r="H50" s="98"/>
      <c r="I50" s="55"/>
      <c r="J50" s="90"/>
      <c r="K50" s="90"/>
      <c r="L50" s="14"/>
      <c r="M50" s="14"/>
      <c r="N50" s="14"/>
      <c r="O50" s="14"/>
      <c r="P50" s="14"/>
    </row>
    <row r="51" spans="1:18" x14ac:dyDescent="0.2">
      <c r="A51" s="81"/>
      <c r="B51" s="82"/>
      <c r="C51" s="91"/>
      <c r="D51" s="88"/>
      <c r="E51" s="56" t="s">
        <v>66</v>
      </c>
      <c r="F51" s="57"/>
      <c r="G51" s="57"/>
      <c r="H51" s="57"/>
      <c r="I51" s="57"/>
      <c r="J51" s="57"/>
      <c r="K51" s="58"/>
      <c r="L51" s="14"/>
      <c r="M51" s="14"/>
      <c r="N51" s="14"/>
      <c r="O51" s="14"/>
      <c r="P51" s="14"/>
    </row>
    <row r="52" spans="1:18" x14ac:dyDescent="0.2">
      <c r="A52" s="81"/>
      <c r="B52" s="82"/>
      <c r="C52" s="91"/>
      <c r="D52" s="70"/>
      <c r="E52" s="83">
        <f>D47</f>
        <v>488.31516156315814</v>
      </c>
      <c r="F52" s="84">
        <v>0.08</v>
      </c>
      <c r="G52" s="84">
        <v>0.09</v>
      </c>
      <c r="H52" s="84">
        <v>0.1</v>
      </c>
      <c r="I52" s="84">
        <v>0.11</v>
      </c>
      <c r="J52" s="84">
        <v>0.12</v>
      </c>
      <c r="K52" s="84">
        <v>0.13</v>
      </c>
      <c r="L52" s="14"/>
      <c r="M52" s="14"/>
      <c r="N52" s="14"/>
      <c r="O52" s="14"/>
      <c r="P52" s="14"/>
    </row>
    <row r="53" spans="1:18" x14ac:dyDescent="0.2">
      <c r="A53" s="81"/>
      <c r="B53" s="82"/>
      <c r="C53" s="91"/>
      <c r="D53" s="128" t="s">
        <v>64</v>
      </c>
      <c r="E53" s="84">
        <v>0.01</v>
      </c>
      <c r="F53" s="14">
        <f t="dataTable" ref="F53:K57" dt2D="1" dtr="1" r1="C42" r2="P40" ca="1"/>
        <v>636.74381902977927</v>
      </c>
      <c r="G53" s="14">
        <v>535.92560771404908</v>
      </c>
      <c r="H53" s="14">
        <v>458.41653450752653</v>
      </c>
      <c r="I53" s="14">
        <v>397.16337574445583</v>
      </c>
      <c r="J53" s="14">
        <v>347.68237809134524</v>
      </c>
      <c r="K53" s="14">
        <v>306.98824292674641</v>
      </c>
      <c r="L53" s="14"/>
      <c r="M53" s="14"/>
      <c r="N53" s="14"/>
      <c r="O53" s="14"/>
      <c r="P53" s="14"/>
    </row>
    <row r="54" spans="1:18" x14ac:dyDescent="0.2">
      <c r="A54" s="81"/>
      <c r="B54" s="82"/>
      <c r="C54" s="91"/>
      <c r="D54" s="129"/>
      <c r="E54" s="84">
        <v>0.02</v>
      </c>
      <c r="F54" s="14">
        <v>719.4605306019605</v>
      </c>
      <c r="G54" s="14">
        <v>593.55347991017243</v>
      </c>
      <c r="H54" s="14">
        <v>500.08030950521612</v>
      </c>
      <c r="I54" s="14">
        <v>428.16655670021009</v>
      </c>
      <c r="J54" s="14">
        <v>371.29236402628783</v>
      </c>
      <c r="K54" s="14">
        <v>325.31269999194114</v>
      </c>
      <c r="L54" s="14"/>
      <c r="M54" s="14"/>
      <c r="N54" s="14"/>
      <c r="O54" s="14"/>
      <c r="P54" s="14"/>
    </row>
    <row r="55" spans="1:18" x14ac:dyDescent="0.2">
      <c r="A55" s="81"/>
      <c r="B55" s="82"/>
      <c r="C55" s="91"/>
      <c r="D55" s="129"/>
      <c r="E55" s="84">
        <v>0.03</v>
      </c>
      <c r="F55" s="14">
        <v>835.26392680301421</v>
      </c>
      <c r="G55" s="14">
        <v>670.39064283833693</v>
      </c>
      <c r="H55" s="14">
        <v>553.64802021653134</v>
      </c>
      <c r="I55" s="14">
        <v>466.92053289490298</v>
      </c>
      <c r="J55" s="14">
        <v>400.14901350232867</v>
      </c>
      <c r="K55" s="14">
        <v>347.30204847017473</v>
      </c>
      <c r="L55" s="14"/>
      <c r="M55" s="14"/>
      <c r="N55" s="14"/>
      <c r="O55" s="14"/>
      <c r="P55" s="14"/>
    </row>
    <row r="56" spans="1:18" x14ac:dyDescent="0.2">
      <c r="A56" s="81"/>
      <c r="B56" s="82"/>
      <c r="C56" s="91"/>
      <c r="D56" s="129"/>
      <c r="E56" s="84">
        <v>0.04</v>
      </c>
      <c r="F56" s="14">
        <v>1008.9690211045948</v>
      </c>
      <c r="G56" s="14">
        <v>777.96267093776726</v>
      </c>
      <c r="H56" s="14">
        <v>625.07163449828488</v>
      </c>
      <c r="I56" s="14">
        <v>516.74707371665079</v>
      </c>
      <c r="J56" s="14">
        <v>436.21982534737987</v>
      </c>
      <c r="K56" s="14">
        <v>374.17791883246036</v>
      </c>
      <c r="L56" s="14"/>
      <c r="M56" s="14"/>
      <c r="N56" s="14"/>
      <c r="O56" s="14"/>
      <c r="P56" s="14"/>
    </row>
    <row r="57" spans="1:18" x14ac:dyDescent="0.2">
      <c r="A57" s="81"/>
      <c r="B57" s="82"/>
      <c r="C57" s="91"/>
      <c r="D57" s="130"/>
      <c r="E57" s="84">
        <v>0.05</v>
      </c>
      <c r="F57" s="14">
        <v>1298.477511607229</v>
      </c>
      <c r="G57" s="14">
        <v>939.32071308691263</v>
      </c>
      <c r="H57" s="14">
        <v>725.06469449273982</v>
      </c>
      <c r="I57" s="14">
        <v>583.18246147898151</v>
      </c>
      <c r="J57" s="14">
        <v>482.59658343387412</v>
      </c>
      <c r="K57" s="14">
        <v>407.77275678531731</v>
      </c>
      <c r="L57" s="14"/>
      <c r="M57" s="14"/>
      <c r="N57" s="14"/>
      <c r="O57" s="14"/>
      <c r="P57" s="14"/>
    </row>
    <row r="58" spans="1:18" x14ac:dyDescent="0.2">
      <c r="A58" s="81"/>
      <c r="B58" s="82"/>
      <c r="C58" s="91"/>
      <c r="D58" s="70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8" x14ac:dyDescent="0.2">
      <c r="A59" s="81"/>
      <c r="B59" s="82"/>
      <c r="C59" s="91"/>
      <c r="D59" s="70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8" x14ac:dyDescent="0.2">
      <c r="A60" s="81"/>
      <c r="B60" s="82"/>
      <c r="C60" s="91"/>
      <c r="D60" s="7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8" x14ac:dyDescent="0.2">
      <c r="A61" s="81"/>
      <c r="B61" s="82"/>
      <c r="C61" s="91"/>
      <c r="D61" s="70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8" x14ac:dyDescent="0.2">
      <c r="A62" s="51" t="s">
        <v>28</v>
      </c>
      <c r="B62" s="52"/>
      <c r="C62" s="24" t="s">
        <v>23</v>
      </c>
      <c r="D62" s="24">
        <v>2022</v>
      </c>
      <c r="E62" s="24">
        <v>2023</v>
      </c>
      <c r="F62" s="24">
        <v>2024</v>
      </c>
      <c r="G62" s="16">
        <v>2025</v>
      </c>
      <c r="H62" s="16">
        <v>2026</v>
      </c>
      <c r="I62" s="16">
        <v>2027</v>
      </c>
      <c r="J62" s="16">
        <v>2028</v>
      </c>
      <c r="K62" s="16">
        <v>2029</v>
      </c>
      <c r="L62" s="16">
        <v>2030</v>
      </c>
      <c r="M62" s="16">
        <v>2031</v>
      </c>
      <c r="N62" s="16">
        <v>2032</v>
      </c>
      <c r="O62" s="16">
        <v>2033</v>
      </c>
      <c r="P62" s="16">
        <v>2034</v>
      </c>
      <c r="Q62" s="16">
        <v>2035</v>
      </c>
      <c r="R62" t="s">
        <v>34</v>
      </c>
    </row>
    <row r="63" spans="1:18" x14ac:dyDescent="0.2">
      <c r="A63" s="19"/>
      <c r="B63" s="19"/>
      <c r="C63" s="45" t="s">
        <v>23</v>
      </c>
      <c r="D63" s="34">
        <f>8721.5</f>
        <v>8721.5</v>
      </c>
      <c r="E63" s="34">
        <f>10400</f>
        <v>10400</v>
      </c>
      <c r="F63" s="34">
        <f>11571</f>
        <v>11571</v>
      </c>
      <c r="G63" s="35">
        <f>14395</f>
        <v>14395</v>
      </c>
      <c r="H63" s="35">
        <f>G63*(1+$U$65)</f>
        <v>17011.861197425955</v>
      </c>
      <c r="I63" s="35">
        <f>H63*(1+$U$65)</f>
        <v>20104.440527994921</v>
      </c>
      <c r="J63" s="35">
        <f t="shared" ref="J63:P63" si="1">I63*(1+$U$65)</f>
        <v>23759.218597718278</v>
      </c>
      <c r="K63" s="35">
        <f t="shared" si="1"/>
        <v>28078.397286813804</v>
      </c>
      <c r="L63" s="35">
        <f t="shared" si="1"/>
        <v>33182.75771375186</v>
      </c>
      <c r="M63" s="35">
        <f t="shared" si="1"/>
        <v>39215.037747423557</v>
      </c>
      <c r="N63" s="35">
        <f>M63*(1+$U$65)</f>
        <v>46343.923515872804</v>
      </c>
      <c r="O63" s="35">
        <f t="shared" si="1"/>
        <v>54768.766529777895</v>
      </c>
      <c r="P63" s="35">
        <f t="shared" si="1"/>
        <v>64725.15832989302</v>
      </c>
      <c r="Q63" s="37">
        <f>P63*(1+P65)/(C6-P65)</f>
        <v>731925.29375267064</v>
      </c>
      <c r="R63" t="s">
        <v>35</v>
      </c>
    </row>
    <row r="64" spans="1:18" x14ac:dyDescent="0.2">
      <c r="A64" s="23"/>
      <c r="B64" s="23"/>
      <c r="C64" s="38" t="s">
        <v>23</v>
      </c>
      <c r="D64" s="38"/>
      <c r="E64" s="38" t="s">
        <v>23</v>
      </c>
      <c r="F64" s="38"/>
      <c r="G64" s="39"/>
      <c r="H64" s="39">
        <f>H63/(1+$C$6)</f>
        <v>15323.240134593725</v>
      </c>
      <c r="I64" s="40">
        <f>I63/(1+$C$6)^2</f>
        <v>16311.336451714065</v>
      </c>
      <c r="J64" s="39">
        <f>J63/(1+$C$6)^3</f>
        <v>17363.148688139394</v>
      </c>
      <c r="K64" s="40">
        <f>K63/(1+$C$6)^4</f>
        <v>18482.785470025428</v>
      </c>
      <c r="L64" s="40">
        <f>L63/(1+$C$6)^5</f>
        <v>19674.620362165992</v>
      </c>
      <c r="M64" s="40">
        <f>M63/(1+$C$6)^6</f>
        <v>20943.308952166506</v>
      </c>
      <c r="N64" s="40">
        <f>N63/(1+$C$6)^7</f>
        <v>22293.807036264949</v>
      </c>
      <c r="O64" s="40">
        <f>O63/(1+$C$6)^8</f>
        <v>23731.389977838357</v>
      </c>
      <c r="P64" s="40">
        <f>P63/(1+$C$6)^9</f>
        <v>25261.673314213826</v>
      </c>
      <c r="Q64" s="38" t="s">
        <v>23</v>
      </c>
    </row>
    <row r="65" spans="1:21" x14ac:dyDescent="0.2">
      <c r="A65" s="23"/>
      <c r="B65" s="23"/>
      <c r="C65" s="27"/>
      <c r="D65" s="27"/>
      <c r="E65" s="27"/>
      <c r="F65" s="27"/>
      <c r="G65" s="27"/>
      <c r="H65" s="27"/>
      <c r="I65" s="18"/>
      <c r="J65" s="18"/>
      <c r="M65" s="127" t="s">
        <v>22</v>
      </c>
      <c r="N65" s="127"/>
      <c r="O65" s="127"/>
      <c r="P65" s="33">
        <v>0.02</v>
      </c>
      <c r="Q65" t="s">
        <v>36</v>
      </c>
      <c r="T65" t="s">
        <v>59</v>
      </c>
      <c r="U65">
        <f>(G63/D63)^(1/3) -1</f>
        <v>0.18178959343007683</v>
      </c>
    </row>
    <row r="66" spans="1:21" x14ac:dyDescent="0.2">
      <c r="A66" s="15" t="s">
        <v>32</v>
      </c>
      <c r="B66" s="15"/>
      <c r="C66" s="91"/>
      <c r="D66" s="27">
        <f>SUM(H64:P64) + P67</f>
        <v>486073.6536977379</v>
      </c>
      <c r="E66" s="65" t="s">
        <v>39</v>
      </c>
      <c r="F66" s="65"/>
      <c r="G66" s="65"/>
      <c r="H66" s="65"/>
      <c r="I66" s="65"/>
      <c r="J66" s="65"/>
      <c r="K66" s="65"/>
      <c r="M66" s="127" t="s">
        <v>53</v>
      </c>
      <c r="N66" s="127"/>
      <c r="O66" s="127"/>
      <c r="P66" s="72">
        <f>Q63</f>
        <v>731925.29375267064</v>
      </c>
    </row>
    <row r="67" spans="1:21" ht="16" customHeight="1" x14ac:dyDescent="0.2">
      <c r="A67" s="15" t="s">
        <v>33</v>
      </c>
      <c r="B67" s="15"/>
      <c r="C67" s="14"/>
      <c r="D67" s="27">
        <v>955</v>
      </c>
      <c r="E67" s="47"/>
      <c r="F67" s="47"/>
      <c r="G67" s="132" t="s">
        <v>68</v>
      </c>
      <c r="H67" s="132"/>
      <c r="I67" s="47"/>
      <c r="J67" s="47"/>
      <c r="K67" s="47"/>
      <c r="M67" s="25" t="s">
        <v>21</v>
      </c>
      <c r="N67" s="25"/>
      <c r="O67" s="25"/>
      <c r="P67" s="72">
        <f>P66/(1+C42)^9</f>
        <v>306688.34331061563</v>
      </c>
    </row>
    <row r="68" spans="1:21" ht="16" customHeight="1" x14ac:dyDescent="0.2">
      <c r="A68" s="15" t="s">
        <v>30</v>
      </c>
      <c r="B68" s="15"/>
      <c r="C68" s="91"/>
      <c r="D68" s="96">
        <f>D66/D67</f>
        <v>508.97764785103448</v>
      </c>
      <c r="E68" s="47"/>
      <c r="F68" s="47"/>
      <c r="G68" s="132"/>
      <c r="H68" s="132"/>
      <c r="I68" s="47"/>
      <c r="J68" s="47"/>
      <c r="K68" s="47"/>
    </row>
    <row r="69" spans="1:21" ht="16" customHeight="1" x14ac:dyDescent="0.2">
      <c r="A69" s="95"/>
      <c r="B69" s="95"/>
      <c r="C69" s="95"/>
      <c r="D69" s="95"/>
      <c r="E69" s="95"/>
      <c r="F69" s="95"/>
      <c r="G69" s="95" t="s">
        <v>72</v>
      </c>
      <c r="H69" s="95"/>
      <c r="I69" s="95"/>
      <c r="J69" s="95"/>
      <c r="K69" s="95"/>
      <c r="L69" s="95"/>
      <c r="M69" s="95"/>
      <c r="N69" s="95"/>
      <c r="O69" s="95"/>
      <c r="P69" s="95"/>
    </row>
    <row r="70" spans="1:21" ht="17" customHeight="1" x14ac:dyDescent="0.2">
      <c r="A70" s="73"/>
      <c r="B70" s="73"/>
      <c r="C70" s="94"/>
      <c r="D70" s="27"/>
      <c r="E70" s="47"/>
      <c r="F70" s="99" t="s">
        <v>67</v>
      </c>
      <c r="G70" s="99"/>
      <c r="H70" s="99"/>
      <c r="I70" s="99"/>
      <c r="J70" s="99"/>
      <c r="K70" s="47"/>
    </row>
    <row r="71" spans="1:21" x14ac:dyDescent="0.2">
      <c r="A71" s="73"/>
      <c r="B71" s="73"/>
      <c r="C71" s="94"/>
      <c r="D71" s="27"/>
      <c r="E71" s="75">
        <f>D68</f>
        <v>508.97764785103448</v>
      </c>
      <c r="F71" s="76">
        <v>0.08</v>
      </c>
      <c r="G71" s="76">
        <v>0.09</v>
      </c>
      <c r="H71" s="76">
        <v>0.1</v>
      </c>
      <c r="I71" s="74">
        <v>0.11</v>
      </c>
      <c r="J71" s="74">
        <v>0.12</v>
      </c>
      <c r="K71" s="47"/>
    </row>
    <row r="72" spans="1:21" x14ac:dyDescent="0.2">
      <c r="A72" s="73"/>
      <c r="B72" s="73"/>
      <c r="C72" s="94"/>
      <c r="D72" s="131" t="s">
        <v>63</v>
      </c>
      <c r="E72" s="76">
        <v>0.01</v>
      </c>
      <c r="F72" s="47">
        <f t="dataTable" ref="F72:J77" dt2D="1" dtr="1" r1="C6" r2="P65" ca="1"/>
        <v>727.16234011478707</v>
      </c>
      <c r="G72" s="47">
        <v>621.7188313959432</v>
      </c>
      <c r="H72" s="47">
        <v>540.13415595796232</v>
      </c>
      <c r="I72" s="47">
        <v>475.25509647684066</v>
      </c>
      <c r="J72" s="47">
        <v>422.52625040415609</v>
      </c>
      <c r="K72" s="47"/>
    </row>
    <row r="73" spans="1:21" x14ac:dyDescent="0.2">
      <c r="A73" s="73"/>
      <c r="B73" s="73"/>
      <c r="C73" s="94"/>
      <c r="D73" s="131"/>
      <c r="E73" s="76">
        <v>1.4999999999999999E-2</v>
      </c>
      <c r="F73" s="47">
        <v>768.99124650868237</v>
      </c>
      <c r="G73" s="47">
        <v>651.50618393576008</v>
      </c>
      <c r="H73" s="47">
        <v>562.08388632411732</v>
      </c>
      <c r="I73" s="47">
        <v>491.86945002275428</v>
      </c>
      <c r="J73" s="47">
        <v>435.37755655819234</v>
      </c>
      <c r="K73" s="47"/>
    </row>
    <row r="74" spans="1:21" x14ac:dyDescent="0.2">
      <c r="A74" s="73"/>
      <c r="B74" s="73"/>
      <c r="C74" s="94"/>
      <c r="D74" s="131"/>
      <c r="E74" s="76">
        <v>0.02</v>
      </c>
      <c r="F74" s="47">
        <v>817.79163730156017</v>
      </c>
      <c r="G74" s="47">
        <v>685.54887255269364</v>
      </c>
      <c r="H74" s="47">
        <v>586.77733298604187</v>
      </c>
      <c r="I74" s="47">
        <v>510.32984285154731</v>
      </c>
      <c r="J74" s="47">
        <v>449.51399332763225</v>
      </c>
      <c r="K74" s="47"/>
    </row>
    <row r="75" spans="1:21" x14ac:dyDescent="0.2">
      <c r="A75" s="73"/>
      <c r="B75" s="73"/>
      <c r="C75" s="94"/>
      <c r="D75" s="131"/>
      <c r="E75" s="76">
        <v>2.5000000000000001E-2</v>
      </c>
      <c r="F75" s="47">
        <v>875.46482642041565</v>
      </c>
      <c r="G75" s="47">
        <v>724.8288978799244</v>
      </c>
      <c r="H75" s="47">
        <v>614.76323920288951</v>
      </c>
      <c r="I75" s="47">
        <v>530.96204660137471</v>
      </c>
      <c r="J75" s="47">
        <v>465.13847607280269</v>
      </c>
      <c r="K75" s="47"/>
    </row>
    <row r="76" spans="1:21" x14ac:dyDescent="0.2">
      <c r="A76" s="73"/>
      <c r="B76" s="73"/>
      <c r="C76" s="94"/>
      <c r="D76" s="131"/>
      <c r="E76" s="76">
        <v>0.03</v>
      </c>
      <c r="F76" s="47">
        <v>944.67265336304229</v>
      </c>
      <c r="G76" s="47">
        <v>770.65559409502725</v>
      </c>
      <c r="H76" s="47">
        <v>646.74713202214423</v>
      </c>
      <c r="I76" s="47">
        <v>554.1732758199305</v>
      </c>
      <c r="J76" s="47">
        <v>482.49901245632537</v>
      </c>
      <c r="K76" s="47"/>
    </row>
    <row r="77" spans="1:21" x14ac:dyDescent="0.2">
      <c r="A77" s="73"/>
      <c r="B77" s="73"/>
      <c r="C77" s="94"/>
      <c r="D77" s="131"/>
      <c r="E77" s="76">
        <v>3.5000000000000003E-2</v>
      </c>
      <c r="F77" s="47">
        <v>1029.2599974040306</v>
      </c>
      <c r="G77" s="47">
        <v>824.81441689469409</v>
      </c>
      <c r="H77" s="47">
        <v>683.65162373666863</v>
      </c>
      <c r="I77" s="47">
        <v>580.47933560096044</v>
      </c>
      <c r="J77" s="47">
        <v>501.90196488496849</v>
      </c>
      <c r="K77" s="47"/>
    </row>
    <row r="78" spans="1:21" x14ac:dyDescent="0.2">
      <c r="A78" s="73"/>
      <c r="B78" s="73"/>
      <c r="C78" s="94"/>
      <c r="D78" s="27"/>
      <c r="E78" s="47"/>
      <c r="F78" s="47"/>
      <c r="G78" s="47"/>
      <c r="H78" s="47"/>
      <c r="I78" s="47"/>
      <c r="J78" s="47"/>
      <c r="K78" s="47"/>
    </row>
    <row r="79" spans="1:21" x14ac:dyDescent="0.2">
      <c r="A79" s="73"/>
      <c r="B79" s="73"/>
      <c r="C79" s="94"/>
      <c r="D79" s="27"/>
      <c r="E79" s="47"/>
      <c r="F79" s="47"/>
      <c r="G79" s="47"/>
      <c r="H79" s="47"/>
      <c r="I79" s="47"/>
      <c r="J79" s="47"/>
      <c r="K79" s="47"/>
    </row>
    <row r="80" spans="1:21" x14ac:dyDescent="0.2">
      <c r="A80" s="73"/>
      <c r="B80" s="73"/>
      <c r="C80" s="94"/>
      <c r="D80" s="27"/>
      <c r="E80" s="47"/>
      <c r="F80" s="47"/>
      <c r="G80" s="47"/>
      <c r="H80" s="47"/>
      <c r="I80" s="47"/>
      <c r="J80" s="47"/>
      <c r="K80" s="47"/>
    </row>
    <row r="81" spans="1:17" x14ac:dyDescent="0.2">
      <c r="J81" s="47"/>
      <c r="K81" s="47"/>
    </row>
    <row r="82" spans="1:17" x14ac:dyDescent="0.2">
      <c r="A82" s="46" t="s">
        <v>16</v>
      </c>
      <c r="B82" s="100"/>
      <c r="C82" s="100"/>
      <c r="D82" s="100"/>
      <c r="E82" s="100"/>
      <c r="F82" s="100"/>
      <c r="G82" s="100"/>
      <c r="H82" s="100"/>
      <c r="L82" s="138" t="s">
        <v>26</v>
      </c>
      <c r="M82" s="133"/>
      <c r="N82" s="133"/>
      <c r="O82" s="133"/>
      <c r="P82" s="133"/>
      <c r="Q82" s="133"/>
    </row>
    <row r="83" spans="1:17" x14ac:dyDescent="0.2">
      <c r="A83" s="59" t="s">
        <v>40</v>
      </c>
      <c r="B83" s="60"/>
      <c r="C83" s="21"/>
      <c r="L83" s="138" t="s">
        <v>73</v>
      </c>
      <c r="M83" s="133"/>
      <c r="N83" s="133"/>
      <c r="O83" s="133"/>
      <c r="P83" s="133"/>
      <c r="Q83" s="133"/>
    </row>
    <row r="84" spans="1:17" x14ac:dyDescent="0.2">
      <c r="A84" s="14"/>
      <c r="B84" s="14" t="s">
        <v>42</v>
      </c>
      <c r="C84" s="29">
        <v>242.76</v>
      </c>
      <c r="L84" s="138"/>
      <c r="M84" s="133"/>
      <c r="N84" s="133"/>
      <c r="O84" s="133"/>
      <c r="P84" s="133"/>
      <c r="Q84" s="133"/>
    </row>
    <row r="85" spans="1:17" x14ac:dyDescent="0.2">
      <c r="A85" s="14"/>
      <c r="B85" s="14" t="s">
        <v>43</v>
      </c>
      <c r="C85" s="34">
        <v>6.88</v>
      </c>
      <c r="L85" s="138"/>
      <c r="M85" s="133"/>
      <c r="N85" s="133"/>
      <c r="O85" s="133"/>
      <c r="P85" s="133"/>
      <c r="Q85" s="133"/>
    </row>
    <row r="86" spans="1:17" x14ac:dyDescent="0.2">
      <c r="A86" s="59" t="s">
        <v>41</v>
      </c>
      <c r="B86" s="60"/>
      <c r="C86" s="21"/>
      <c r="L86" s="138"/>
      <c r="M86" s="133"/>
      <c r="N86" s="133"/>
      <c r="O86" s="133"/>
      <c r="P86" s="133"/>
      <c r="Q86" s="133"/>
    </row>
    <row r="87" spans="1:17" x14ac:dyDescent="0.2">
      <c r="A87" s="14"/>
      <c r="B87" s="14" t="s">
        <v>42</v>
      </c>
      <c r="C87" s="29">
        <v>242.76</v>
      </c>
      <c r="L87" s="138"/>
      <c r="M87" s="133"/>
      <c r="N87" s="133"/>
      <c r="O87" s="133"/>
      <c r="P87" s="133"/>
      <c r="Q87" s="133"/>
    </row>
    <row r="88" spans="1:17" x14ac:dyDescent="0.2">
      <c r="A88" s="14"/>
      <c r="B88" s="14" t="s">
        <v>44</v>
      </c>
      <c r="C88" s="34">
        <v>8.57</v>
      </c>
      <c r="L88" s="138"/>
      <c r="M88" s="133"/>
      <c r="N88" s="133"/>
      <c r="O88" s="133"/>
      <c r="P88" s="133"/>
      <c r="Q88" s="133"/>
    </row>
    <row r="89" spans="1:17" x14ac:dyDescent="0.2">
      <c r="A89" s="59" t="s">
        <v>47</v>
      </c>
      <c r="B89" s="60"/>
      <c r="C89" s="21"/>
    </row>
    <row r="90" spans="1:17" x14ac:dyDescent="0.2">
      <c r="A90" s="14"/>
      <c r="B90" s="14" t="s">
        <v>42</v>
      </c>
      <c r="C90" s="29">
        <v>242.76</v>
      </c>
    </row>
    <row r="91" spans="1:17" x14ac:dyDescent="0.2">
      <c r="A91" s="14"/>
      <c r="B91" s="14" t="s">
        <v>45</v>
      </c>
      <c r="C91" s="34">
        <f>39502/955</f>
        <v>41.363350785340316</v>
      </c>
    </row>
    <row r="92" spans="1:17" x14ac:dyDescent="0.2">
      <c r="A92" s="59" t="s">
        <v>48</v>
      </c>
      <c r="B92" s="60"/>
      <c r="C92" s="21"/>
    </row>
    <row r="93" spans="1:17" x14ac:dyDescent="0.2">
      <c r="B93" s="43" t="s">
        <v>42</v>
      </c>
      <c r="C93" s="29">
        <v>242.76</v>
      </c>
    </row>
    <row r="94" spans="1:17" x14ac:dyDescent="0.2">
      <c r="B94" s="43" t="s">
        <v>46</v>
      </c>
      <c r="C94" s="34">
        <f>6.88*(1+ U40)/C6</f>
        <v>73.458813406899083</v>
      </c>
    </row>
  </sheetData>
  <mergeCells count="32">
    <mergeCell ref="J2:L2"/>
    <mergeCell ref="I8:Q9"/>
    <mergeCell ref="I7:Q7"/>
    <mergeCell ref="L82:Q82"/>
    <mergeCell ref="L83:Q88"/>
    <mergeCell ref="M66:O66"/>
    <mergeCell ref="M14:O14"/>
    <mergeCell ref="I32:N35"/>
    <mergeCell ref="I31:N31"/>
    <mergeCell ref="M15:O15"/>
    <mergeCell ref="D53:D57"/>
    <mergeCell ref="D72:D77"/>
    <mergeCell ref="G67:H68"/>
    <mergeCell ref="M65:O65"/>
    <mergeCell ref="M40:O40"/>
    <mergeCell ref="M41:O41"/>
    <mergeCell ref="E22:H22"/>
    <mergeCell ref="C24:C30"/>
    <mergeCell ref="A1:H1"/>
    <mergeCell ref="A2:H2"/>
    <mergeCell ref="C3:H3"/>
    <mergeCell ref="C4:H4"/>
    <mergeCell ref="C6:H6"/>
    <mergeCell ref="C5:H5"/>
    <mergeCell ref="A7:H7"/>
    <mergeCell ref="A8:H8"/>
    <mergeCell ref="A9:H9"/>
    <mergeCell ref="A10:B10"/>
    <mergeCell ref="C10:E10"/>
    <mergeCell ref="C17:H17"/>
    <mergeCell ref="A21:H21"/>
    <mergeCell ref="G10:Q10"/>
  </mergeCells>
  <phoneticPr fontId="9" type="noConversion"/>
  <conditionalFormatting sqref="D23:I3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1:J7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2:K5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2:H7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2:J7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C751-FC60-6C48-827C-0BCEDACB274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Analysis</vt:lpstr>
      <vt:lpstr>Financial Statements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Hsu, Alex</dc:creator>
  <cp:keywords/>
  <dc:description/>
  <cp:lastModifiedBy>Sathyanarayana, Rajath</cp:lastModifiedBy>
  <dcterms:created xsi:type="dcterms:W3CDTF">2018-09-26T19:00:36Z</dcterms:created>
  <dcterms:modified xsi:type="dcterms:W3CDTF">2026-06-02T04:31:34Z</dcterms:modified>
  <cp:category/>
</cp:coreProperties>
</file>